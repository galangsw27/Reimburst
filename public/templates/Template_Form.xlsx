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04"/>
  <workbookPr/>
  <mc:AlternateContent xmlns:mc="http://schemas.openxmlformats.org/markup-compatibility/2006">
    <mc:Choice Requires="x15">
      <x15ac:absPath xmlns:x15ac="http://schemas.microsoft.com/office/spreadsheetml/2010/11/ac" url="/Users/virgiami/Downloads/"/>
    </mc:Choice>
  </mc:AlternateContent>
  <xr:revisionPtr revIDLastSave="0" documentId="8_{4880C4F3-1521-486B-A6E7-88232EBAC0B5}" xr6:coauthVersionLast="47" xr6:coauthVersionMax="47" xr10:uidLastSave="{00000000-0000-0000-0000-000000000000}"/>
  <bookViews>
    <workbookView xWindow="0" yWindow="760" windowWidth="29400" windowHeight="17060" xr2:uid="{00000000-000D-0000-FFFF-FFFF00000000}"/>
  </bookViews>
  <sheets>
    <sheet name="New Format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6" l="1"/>
  <c r="M12" i="6"/>
  <c r="M13" i="6"/>
  <c r="M14" i="6"/>
  <c r="M11" i="6"/>
  <c r="M24" i="6"/>
  <c r="Q24" i="6"/>
  <c r="H24" i="6"/>
  <c r="J24" i="6"/>
  <c r="G24" i="6"/>
  <c r="M23" i="6"/>
</calcChain>
</file>

<file path=xl/sharedStrings.xml><?xml version="1.0" encoding="utf-8"?>
<sst xmlns="http://schemas.openxmlformats.org/spreadsheetml/2006/main" count="102" uniqueCount="52">
  <si>
    <t>TESTER COST REIMBURSEMENT FORM</t>
  </si>
  <si>
    <t> </t>
  </si>
  <si>
    <t>Tgl Pengajuan</t>
  </si>
  <si>
    <t>:</t>
  </si>
  <si>
    <t>NIP</t>
  </si>
  <si>
    <t>19-0064</t>
  </si>
  <si>
    <t>Nama Employee</t>
  </si>
  <si>
    <t>Hari Agus Prasetyo</t>
  </si>
  <si>
    <t>Unit Bisnis</t>
  </si>
  <si>
    <t>S&amp;P</t>
  </si>
  <si>
    <t>Project  Name</t>
  </si>
  <si>
    <t>MyOrbit</t>
  </si>
  <si>
    <t>Project ID</t>
  </si>
  <si>
    <t>2-011-023</t>
  </si>
  <si>
    <t>No</t>
  </si>
  <si>
    <t>Tgl</t>
  </si>
  <si>
    <t>Time</t>
  </si>
  <si>
    <t>TRX ID</t>
  </si>
  <si>
    <t>Transaksi</t>
  </si>
  <si>
    <t>Payment Type</t>
  </si>
  <si>
    <t>Amount</t>
  </si>
  <si>
    <t>B. Admin</t>
  </si>
  <si>
    <t>B. Kirim</t>
  </si>
  <si>
    <t>B. Layanan</t>
  </si>
  <si>
    <t>Diskon</t>
  </si>
  <si>
    <t>Login/Non Login</t>
  </si>
  <si>
    <t>Total</t>
  </si>
  <si>
    <t>By</t>
  </si>
  <si>
    <t>Folder Evidence</t>
  </si>
  <si>
    <t>Remark</t>
  </si>
  <si>
    <t>Approved</t>
  </si>
  <si>
    <t>Comment</t>
  </si>
  <si>
    <t>DP2511297649678696</t>
  </si>
  <si>
    <t>Orbit Extra 15GB</t>
  </si>
  <si>
    <t>VA BCA</t>
  </si>
  <si>
    <t>Login</t>
  </si>
  <si>
    <t>Hari</t>
  </si>
  <si>
    <t>Evidence_12_15_2025</t>
  </si>
  <si>
    <t>Daily Regression</t>
  </si>
  <si>
    <t>DP2511229835324290</t>
  </si>
  <si>
    <t>DP25125344858149</t>
  </si>
  <si>
    <t>Sanity Beta Sprint 85</t>
  </si>
  <si>
    <t>DP251258498395289</t>
  </si>
  <si>
    <t>Zoom Pro 1.5GB</t>
  </si>
  <si>
    <t>DP251245328004987</t>
  </si>
  <si>
    <t>Zoom Pro 0.5GB</t>
  </si>
  <si>
    <t>Request By :</t>
  </si>
  <si>
    <t>Approved By :</t>
  </si>
  <si>
    <t>Checked by :</t>
  </si>
  <si>
    <t>Hari Agus P</t>
  </si>
  <si>
    <t>Virgiami K</t>
  </si>
  <si>
    <t>[Finance]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</si>
</sst>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3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color rgb="FF000000"/>
      <name val="Aptos Narrow"/>
      <family val="2"/>
    </font>
    <font>
      <b/>
      <sz val="10"/>
      <color rgb="FF000000"/>
      <name val="Aptos Narrow"/>
      <family val="2"/>
    </font>
    <font>
      <b/>
      <sz val="12"/>
      <color rgb="FF000000"/>
      <name val="Aptos Narrow"/>
      <family val="2"/>
    </font>
    <font>
      <b/>
      <sz val="10"/>
      <color rgb="FFFFFFFF"/>
      <name val="Aptos Narrow"/>
      <family val="2"/>
    </font>
    <font>
      <u/>
      <sz val="11"/>
      <color theme="10"/>
      <name val="Calibri"/>
      <family val="2"/>
      <charset val="1"/>
      <scheme val="minor"/>
    </font>
    <font>
      <sz val="12"/>
      <color indexed="8"/>
      <name val="Calibri"/>
      <family val="2"/>
      <charset val="1"/>
      <scheme val="minor"/>
    </font>
    <font>
      <b/>
      <sz val="12"/>
      <color indexed="8"/>
      <name val="Calibri"/>
      <family val="2"/>
      <charset val="1"/>
      <scheme val="minor"/>
    </font>
    <font>
      <sz val="10"/>
      <color rgb="FFFF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4472C4"/>
      </left>
      <right/>
      <top style="thin">
        <color rgb="FF4472C4"/>
      </top>
      <bottom/>
      <diagonal/>
    </border>
    <border>
      <left/>
      <right/>
      <top style="thin">
        <color rgb="FF4472C4"/>
      </top>
      <bottom/>
      <diagonal/>
    </border>
    <border>
      <left/>
      <right style="thin">
        <color rgb="FF4472C4"/>
      </right>
      <top style="thin">
        <color rgb="FF4472C4"/>
      </top>
      <bottom/>
      <diagonal/>
    </border>
    <border>
      <left style="thin">
        <color rgb="FF4472C4"/>
      </left>
      <right/>
      <top style="double">
        <color rgb="FF4472C4"/>
      </top>
      <bottom style="thin">
        <color rgb="FF4472C4"/>
      </bottom>
      <diagonal/>
    </border>
    <border>
      <left/>
      <right/>
      <top style="double">
        <color rgb="FF4472C4"/>
      </top>
      <bottom style="thin">
        <color rgb="FF4472C4"/>
      </bottom>
      <diagonal/>
    </border>
    <border>
      <left/>
      <right style="thin">
        <color rgb="FF4472C4"/>
      </right>
      <top style="double">
        <color rgb="FF4472C4"/>
      </top>
      <bottom style="thin">
        <color rgb="FF4472C4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9" fillId="0" borderId="0" applyNumberFormat="0" applyFill="0" applyBorder="0" applyAlignment="0" applyProtection="0"/>
  </cellStyleXfs>
  <cellXfs count="78">
    <xf numFmtId="0" fontId="0" fillId="0" borderId="0" xfId="0"/>
    <xf numFmtId="0" fontId="5" fillId="0" borderId="0" xfId="0" applyFont="1"/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3" fontId="8" fillId="2" borderId="5" xfId="0" applyNumberFormat="1" applyFont="1" applyFill="1" applyBorder="1" applyAlignment="1">
      <alignment horizontal="center" vertical="center"/>
    </xf>
    <xf numFmtId="3" fontId="8" fillId="3" borderId="5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8" fillId="2" borderId="5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3" fontId="5" fillId="0" borderId="0" xfId="0" applyNumberFormat="1" applyFont="1" applyAlignment="1">
      <alignment vertical="center"/>
    </xf>
    <xf numFmtId="16" fontId="5" fillId="0" borderId="5" xfId="0" applyNumberFormat="1" applyFont="1" applyBorder="1" applyAlignment="1">
      <alignment vertical="center"/>
    </xf>
    <xf numFmtId="0" fontId="5" fillId="0" borderId="5" xfId="0" applyFont="1" applyBorder="1" applyAlignment="1">
      <alignment vertical="center"/>
    </xf>
    <xf numFmtId="3" fontId="5" fillId="0" borderId="5" xfId="0" applyNumberFormat="1" applyFont="1" applyBorder="1" applyAlignment="1">
      <alignment vertical="center"/>
    </xf>
    <xf numFmtId="49" fontId="9" fillId="0" borderId="5" xfId="3" applyNumberFormat="1" applyBorder="1" applyAlignment="1">
      <alignment vertical="center"/>
    </xf>
    <xf numFmtId="0" fontId="5" fillId="0" borderId="6" xfId="0" applyFont="1" applyBorder="1" applyAlignment="1">
      <alignment vertical="center"/>
    </xf>
    <xf numFmtId="49" fontId="5" fillId="0" borderId="5" xfId="0" applyNumberFormat="1" applyFont="1" applyBorder="1" applyAlignment="1">
      <alignment vertical="center"/>
    </xf>
    <xf numFmtId="0" fontId="6" fillId="0" borderId="8" xfId="0" applyFont="1" applyBorder="1" applyAlignment="1">
      <alignment vertical="center"/>
    </xf>
    <xf numFmtId="49" fontId="6" fillId="0" borderId="8" xfId="0" applyNumberFormat="1" applyFont="1" applyBorder="1" applyAlignment="1">
      <alignment vertical="center"/>
    </xf>
    <xf numFmtId="3" fontId="6" fillId="0" borderId="8" xfId="0" applyNumberFormat="1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3" fontId="6" fillId="0" borderId="0" xfId="0" applyNumberFormat="1" applyFont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49" fontId="5" fillId="0" borderId="11" xfId="0" applyNumberFormat="1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3" fontId="6" fillId="0" borderId="11" xfId="0" applyNumberFormat="1" applyFont="1" applyBorder="1" applyAlignment="1">
      <alignment vertical="center"/>
    </xf>
    <xf numFmtId="164" fontId="6" fillId="0" borderId="11" xfId="0" applyNumberFormat="1" applyFont="1" applyBorder="1" applyAlignment="1">
      <alignment vertical="center"/>
    </xf>
    <xf numFmtId="3" fontId="5" fillId="0" borderId="11" xfId="0" applyNumberFormat="1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49" fontId="5" fillId="0" borderId="16" xfId="0" applyNumberFormat="1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3" fontId="6" fillId="0" borderId="16" xfId="0" applyNumberFormat="1" applyFont="1" applyBorder="1" applyAlignment="1">
      <alignment vertical="center"/>
    </xf>
    <xf numFmtId="3" fontId="5" fillId="0" borderId="16" xfId="0" applyNumberFormat="1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49" fontId="5" fillId="0" borderId="5" xfId="0" quotePrefix="1" applyNumberFormat="1" applyFont="1" applyBorder="1" applyAlignment="1">
      <alignment vertical="center" wrapText="1"/>
    </xf>
    <xf numFmtId="164" fontId="6" fillId="0" borderId="11" xfId="0" applyNumberFormat="1" applyFont="1" applyBorder="1" applyAlignment="1">
      <alignment horizontal="left" vertical="top"/>
    </xf>
    <xf numFmtId="3" fontId="5" fillId="0" borderId="5" xfId="0" applyNumberFormat="1" applyFont="1" applyBorder="1" applyAlignment="1">
      <alignment horizontal="center" vertical="center"/>
    </xf>
    <xf numFmtId="20" fontId="5" fillId="0" borderId="5" xfId="0" applyNumberFormat="1" applyFont="1" applyBorder="1" applyAlignment="1">
      <alignment horizontal="center" vertical="center"/>
    </xf>
    <xf numFmtId="0" fontId="10" fillId="0" borderId="23" xfId="2" applyFont="1" applyBorder="1" applyAlignment="1">
      <alignment horizontal="center" vertical="center"/>
    </xf>
    <xf numFmtId="0" fontId="10" fillId="0" borderId="24" xfId="2" applyFont="1" applyBorder="1" applyAlignment="1">
      <alignment horizontal="center" vertical="center"/>
    </xf>
    <xf numFmtId="0" fontId="10" fillId="0" borderId="27" xfId="2" applyFont="1" applyBorder="1" applyAlignment="1">
      <alignment horizontal="center" vertical="center"/>
    </xf>
    <xf numFmtId="0" fontId="10" fillId="0" borderId="28" xfId="2" applyFont="1" applyBorder="1" applyAlignment="1">
      <alignment horizontal="center" vertical="center"/>
    </xf>
    <xf numFmtId="0" fontId="4" fillId="0" borderId="20" xfId="2" applyFont="1" applyBorder="1" applyAlignment="1">
      <alignment vertical="center"/>
    </xf>
    <xf numFmtId="0" fontId="4" fillId="0" borderId="19" xfId="2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20" fontId="5" fillId="4" borderId="5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vertical="center"/>
    </xf>
    <xf numFmtId="3" fontId="5" fillId="4" borderId="5" xfId="0" applyNumberFormat="1" applyFont="1" applyFill="1" applyBorder="1" applyAlignment="1">
      <alignment vertical="center"/>
    </xf>
    <xf numFmtId="0" fontId="5" fillId="4" borderId="6" xfId="0" applyFont="1" applyFill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12" fillId="0" borderId="6" xfId="0" applyFont="1" applyBorder="1" applyAlignment="1">
      <alignment vertical="center"/>
    </xf>
    <xf numFmtId="0" fontId="11" fillId="0" borderId="21" xfId="2" applyFont="1" applyBorder="1" applyAlignment="1">
      <alignment horizontal="center" vertical="center"/>
    </xf>
    <xf numFmtId="0" fontId="11" fillId="0" borderId="22" xfId="2" applyFont="1" applyBorder="1" applyAlignment="1">
      <alignment horizontal="center" vertical="center"/>
    </xf>
    <xf numFmtId="0" fontId="3" fillId="0" borderId="18" xfId="2" applyFont="1" applyBorder="1" applyAlignment="1">
      <alignment horizontal="center" vertical="center"/>
    </xf>
    <xf numFmtId="0" fontId="3" fillId="0" borderId="19" xfId="2" applyFont="1" applyBorder="1" applyAlignment="1">
      <alignment horizontal="center" vertical="center"/>
    </xf>
    <xf numFmtId="0" fontId="11" fillId="0" borderId="25" xfId="2" applyFont="1" applyBorder="1" applyAlignment="1">
      <alignment horizontal="center" vertical="center"/>
    </xf>
    <xf numFmtId="0" fontId="11" fillId="0" borderId="26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</cellXfs>
  <cellStyles count="4">
    <cellStyle name="Hyperlink" xfId="3" builtinId="8"/>
    <cellStyle name="Normal" xfId="0" builtinId="0"/>
    <cellStyle name="Normal 2" xfId="1" xr:uid="{00000000-0005-0000-0000-000002000000}"/>
    <cellStyle name="Normal 2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190500</xdr:colOff>
      <xdr:row>29</xdr:row>
      <xdr:rowOff>57150</xdr:rowOff>
    </xdr:from>
    <xdr:to>
      <xdr:col>3</xdr:col>
      <xdr:colOff>1343025</xdr:colOff>
      <xdr:row>32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4292AA-BFCA-605D-4E45-59E03F9ED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4950" y="5810250"/>
          <a:ext cx="1152525" cy="561975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29</xdr:row>
      <xdr:rowOff>57150</xdr:rowOff>
    </xdr:from>
    <xdr:to>
      <xdr:col>4</xdr:col>
      <xdr:colOff>1019175</xdr:colOff>
      <xdr:row>32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2DD718-2D14-48CD-A57F-7000234D8CAC}"/>
            </a:ext>
            <a:ext uri="{147F2762-F138-4A5C-976F-8EAC2B608ADB}">
              <a16:predDERef xmlns:a16="http://schemas.microsoft.com/office/drawing/2014/main" pred="{1C4292AA-BFCA-605D-4E45-59E03F9ED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5467350"/>
          <a:ext cx="904875" cy="561975"/>
        </a:xfrm>
        <a:prstGeom prst="rect">
          <a:avLst/>
        </a:prstGeom>
      </xdr:spPr>
    </xdr:pic>
    <xdr:clientData/>
  </xdr:twoCellAnchor>
  <xdr:twoCellAnchor editAs="oneCell">
    <xdr:from>
      <xdr:col>5</xdr:col>
      <xdr:colOff>142875</xdr:colOff>
      <xdr:row>29</xdr:row>
      <xdr:rowOff>104775</xdr:rowOff>
    </xdr:from>
    <xdr:to>
      <xdr:col>5</xdr:col>
      <xdr:colOff>828675</xdr:colOff>
      <xdr:row>32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2BECC79-A9EB-4755-8644-89409593CAB8}"/>
            </a:ext>
            <a:ext uri="{147F2762-F138-4A5C-976F-8EAC2B608ADB}">
              <a16:predDERef xmlns:a16="http://schemas.microsoft.com/office/drawing/2014/main" pred="{362DD718-2D14-48CD-A57F-7000234D8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05300" y="5514975"/>
          <a:ext cx="685800" cy="523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saltcoid-my.sharepoint.com/:f:/r/personal/virgiami_komalasari_salt_co_id/Documents/1.%20Progress%20Egi/Reimbursement/2025/My%20Orbit/12_15_2025/Evidence_12_15_2025?csf=1&amp;web=1&amp;e=46AmpK" TargetMode="External"/><Relationship Id="rId1" Type="http://schemas.openxmlformats.org/officeDocument/2006/relationships/hyperlink" Target="https://saltcoid-my.sharepoint.com/:f:/r/personal/virgiami_komalasari_salt_co_id/Documents/1.%20Progress%20Egi/Reimbursement/2025/My%20Orbit/12_15_2025/Evidence_12_15_2025?csf=1&amp;web=1&amp;e=46Am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6D032-F0A1-4900-9F4A-A59EDC8B5F2D}">
  <dimension ref="A1:S35"/>
  <sheetViews>
    <sheetView tabSelected="1" topLeftCell="B1" workbookViewId="0">
      <selection activeCell="P13" sqref="P13:P15"/>
    </sheetView>
  </sheetViews>
  <sheetFormatPr defaultColWidth="8.85546875" defaultRowHeight="15"/>
  <cols>
    <col min="1" max="1" width="3.7109375" style="8" customWidth="1"/>
    <col min="2" max="3" width="8" style="23" customWidth="1"/>
    <col min="4" max="4" width="24.28515625" style="24" bestFit="1" customWidth="1"/>
    <col min="5" max="5" width="18.42578125" style="23" customWidth="1"/>
    <col min="6" max="6" width="17.7109375" style="23" customWidth="1"/>
    <col min="7" max="9" width="11" style="25" customWidth="1"/>
    <col min="10" max="11" width="9.42578125" style="25" customWidth="1"/>
    <col min="12" max="12" width="13.28515625" style="25" customWidth="1"/>
    <col min="13" max="13" width="9.140625" style="25" customWidth="1"/>
    <col min="14" max="14" width="8.42578125" style="8" customWidth="1"/>
    <col min="15" max="15" width="24.85546875" style="24" customWidth="1"/>
    <col min="16" max="16" width="53.28515625" style="23" customWidth="1"/>
    <col min="17" max="17" width="13.42578125" style="25" customWidth="1"/>
    <col min="18" max="18" width="29" style="23" customWidth="1"/>
  </cols>
  <sheetData>
    <row r="1" spans="1:19" ht="15.75">
      <c r="A1" s="26"/>
      <c r="B1" s="27"/>
      <c r="C1" s="27"/>
      <c r="D1" s="27"/>
      <c r="E1" s="27"/>
      <c r="F1" s="27" t="s">
        <v>0</v>
      </c>
      <c r="G1" s="27"/>
      <c r="H1" s="27"/>
      <c r="I1" s="27"/>
      <c r="J1" s="27"/>
      <c r="K1" s="27"/>
      <c r="L1" s="27"/>
      <c r="M1" s="27"/>
      <c r="N1" s="26"/>
      <c r="O1" s="27"/>
      <c r="P1" s="27"/>
      <c r="Q1" s="27"/>
      <c r="R1" s="27"/>
      <c r="S1" s="1"/>
    </row>
    <row r="2" spans="1:19">
      <c r="A2" s="7"/>
      <c r="B2" s="10"/>
      <c r="C2" s="10"/>
      <c r="D2" s="11"/>
      <c r="E2" s="10"/>
      <c r="F2" s="10"/>
      <c r="G2" s="12"/>
      <c r="H2" s="12"/>
      <c r="I2" s="12"/>
      <c r="J2" s="12"/>
      <c r="K2" s="12"/>
      <c r="L2" s="12"/>
      <c r="M2" s="12"/>
      <c r="N2" s="7"/>
      <c r="O2" s="11"/>
      <c r="P2" s="10"/>
      <c r="Q2" s="12"/>
      <c r="R2" s="10"/>
      <c r="S2" s="1"/>
    </row>
    <row r="3" spans="1:19">
      <c r="A3" s="35" t="s">
        <v>1</v>
      </c>
      <c r="B3" s="36" t="s">
        <v>1</v>
      </c>
      <c r="C3" s="36"/>
      <c r="D3" s="37" t="s">
        <v>1</v>
      </c>
      <c r="E3" s="38" t="s">
        <v>2</v>
      </c>
      <c r="F3" s="39" t="s">
        <v>3</v>
      </c>
      <c r="G3" s="54">
        <v>46006</v>
      </c>
      <c r="H3" s="40"/>
      <c r="I3" s="40"/>
      <c r="J3" s="39" t="s">
        <v>1</v>
      </c>
      <c r="K3" s="39"/>
      <c r="L3" s="39"/>
      <c r="M3" s="39" t="s">
        <v>1</v>
      </c>
      <c r="N3" s="40"/>
      <c r="O3" s="37" t="s">
        <v>1</v>
      </c>
      <c r="P3" s="36" t="s">
        <v>1</v>
      </c>
      <c r="Q3" s="41" t="s">
        <v>1</v>
      </c>
      <c r="R3" s="42" t="s">
        <v>1</v>
      </c>
      <c r="S3" s="1"/>
    </row>
    <row r="4" spans="1:19">
      <c r="A4" s="43" t="s">
        <v>1</v>
      </c>
      <c r="B4" s="10"/>
      <c r="C4" s="10"/>
      <c r="D4" s="11"/>
      <c r="E4" s="33" t="s">
        <v>4</v>
      </c>
      <c r="F4" s="34" t="s">
        <v>3</v>
      </c>
      <c r="G4" s="34" t="s">
        <v>5</v>
      </c>
      <c r="H4" s="34"/>
      <c r="I4" s="34"/>
      <c r="J4" s="34"/>
      <c r="K4" s="34"/>
      <c r="L4" s="34"/>
      <c r="M4" s="34"/>
      <c r="N4" s="34"/>
      <c r="O4" s="11"/>
      <c r="P4" s="10"/>
      <c r="Q4" s="12"/>
      <c r="R4" s="44" t="s">
        <v>1</v>
      </c>
      <c r="S4" s="1"/>
    </row>
    <row r="5" spans="1:19">
      <c r="A5" s="43" t="s">
        <v>1</v>
      </c>
      <c r="B5" s="10"/>
      <c r="C5" s="10"/>
      <c r="D5" s="11"/>
      <c r="E5" s="33" t="s">
        <v>6</v>
      </c>
      <c r="F5" s="34" t="s">
        <v>3</v>
      </c>
      <c r="G5" s="34" t="s">
        <v>7</v>
      </c>
      <c r="H5" s="34"/>
      <c r="I5" s="34"/>
      <c r="J5" s="34"/>
      <c r="K5" s="34"/>
      <c r="L5" s="34"/>
      <c r="M5" s="34"/>
      <c r="N5" s="34"/>
      <c r="O5" s="11"/>
      <c r="P5" s="10"/>
      <c r="Q5" s="12"/>
      <c r="R5" s="44" t="s">
        <v>1</v>
      </c>
      <c r="S5" s="1"/>
    </row>
    <row r="6" spans="1:19">
      <c r="A6" s="43" t="s">
        <v>1</v>
      </c>
      <c r="B6" s="10" t="s">
        <v>1</v>
      </c>
      <c r="C6" s="10"/>
      <c r="D6" s="11" t="s">
        <v>1</v>
      </c>
      <c r="E6" s="33" t="s">
        <v>8</v>
      </c>
      <c r="F6" s="34" t="s">
        <v>3</v>
      </c>
      <c r="G6" s="34" t="s">
        <v>9</v>
      </c>
      <c r="H6" s="34"/>
      <c r="I6" s="34"/>
      <c r="J6" s="34" t="s">
        <v>1</v>
      </c>
      <c r="K6" s="34"/>
      <c r="L6" s="34"/>
      <c r="M6" s="34" t="s">
        <v>1</v>
      </c>
      <c r="N6" s="34"/>
      <c r="O6" s="11" t="s">
        <v>1</v>
      </c>
      <c r="P6" s="10" t="s">
        <v>1</v>
      </c>
      <c r="Q6" s="12" t="s">
        <v>1</v>
      </c>
      <c r="R6" s="44" t="s">
        <v>1</v>
      </c>
      <c r="S6" s="1"/>
    </row>
    <row r="7" spans="1:19">
      <c r="A7" s="43"/>
      <c r="B7" s="10"/>
      <c r="C7" s="10"/>
      <c r="D7" s="11"/>
      <c r="E7" s="33" t="s">
        <v>10</v>
      </c>
      <c r="F7" s="34" t="s">
        <v>3</v>
      </c>
      <c r="G7" s="34" t="s">
        <v>11</v>
      </c>
      <c r="H7" s="34"/>
      <c r="I7" s="34"/>
      <c r="J7" s="34"/>
      <c r="K7" s="34"/>
      <c r="L7" s="34"/>
      <c r="M7" s="12"/>
      <c r="N7" s="34"/>
      <c r="O7" s="11"/>
      <c r="P7" s="10"/>
      <c r="Q7" s="12"/>
      <c r="R7" s="44"/>
      <c r="S7" s="1"/>
    </row>
    <row r="8" spans="1:19">
      <c r="A8" s="45"/>
      <c r="B8" s="46"/>
      <c r="C8" s="46"/>
      <c r="D8" s="47"/>
      <c r="E8" s="48" t="s">
        <v>12</v>
      </c>
      <c r="F8" s="49" t="s">
        <v>3</v>
      </c>
      <c r="G8" s="49" t="s">
        <v>13</v>
      </c>
      <c r="H8" s="49"/>
      <c r="I8" s="49"/>
      <c r="J8" s="49"/>
      <c r="K8" s="49"/>
      <c r="L8" s="49"/>
      <c r="M8" s="50"/>
      <c r="N8" s="49"/>
      <c r="O8" s="47"/>
      <c r="P8" s="46"/>
      <c r="Q8" s="50"/>
      <c r="R8" s="51"/>
      <c r="S8" s="1"/>
    </row>
    <row r="9" spans="1:19">
      <c r="A9" s="7"/>
      <c r="B9" s="10"/>
      <c r="C9" s="10"/>
      <c r="D9" s="11"/>
      <c r="E9" s="10"/>
      <c r="F9" s="10"/>
      <c r="G9" s="12"/>
      <c r="H9" s="12"/>
      <c r="I9" s="12"/>
      <c r="J9" s="12"/>
      <c r="K9" s="12"/>
      <c r="L9" s="12"/>
      <c r="M9" s="12"/>
      <c r="N9" s="7"/>
      <c r="O9" s="11"/>
      <c r="P9" s="10"/>
      <c r="Q9" s="12"/>
      <c r="R9" s="10"/>
      <c r="S9" s="1"/>
    </row>
    <row r="10" spans="1:19" s="8" customFormat="1">
      <c r="A10" s="2" t="s">
        <v>14</v>
      </c>
      <c r="B10" s="3" t="s">
        <v>15</v>
      </c>
      <c r="C10" s="3" t="s">
        <v>16</v>
      </c>
      <c r="D10" s="9" t="s">
        <v>17</v>
      </c>
      <c r="E10" s="3" t="s">
        <v>18</v>
      </c>
      <c r="F10" s="3" t="s">
        <v>19</v>
      </c>
      <c r="G10" s="4" t="s">
        <v>20</v>
      </c>
      <c r="H10" s="4" t="s">
        <v>21</v>
      </c>
      <c r="I10" s="4" t="s">
        <v>22</v>
      </c>
      <c r="J10" s="4" t="s">
        <v>23</v>
      </c>
      <c r="K10" s="4" t="s">
        <v>24</v>
      </c>
      <c r="L10" s="3" t="s">
        <v>25</v>
      </c>
      <c r="M10" s="4" t="s">
        <v>26</v>
      </c>
      <c r="N10" s="3" t="s">
        <v>27</v>
      </c>
      <c r="O10" s="9" t="s">
        <v>28</v>
      </c>
      <c r="P10" s="3" t="s">
        <v>29</v>
      </c>
      <c r="Q10" s="5" t="s">
        <v>30</v>
      </c>
      <c r="R10" s="6" t="s">
        <v>31</v>
      </c>
      <c r="S10" s="7"/>
    </row>
    <row r="11" spans="1:19">
      <c r="A11" s="29">
        <v>1</v>
      </c>
      <c r="B11" s="13">
        <v>45990</v>
      </c>
      <c r="C11" s="56">
        <v>0.74583333333333335</v>
      </c>
      <c r="D11" s="53" t="s">
        <v>32</v>
      </c>
      <c r="E11" s="14" t="s">
        <v>33</v>
      </c>
      <c r="F11" s="30" t="s">
        <v>34</v>
      </c>
      <c r="G11" s="55">
        <v>26000</v>
      </c>
      <c r="H11" s="55">
        <v>0</v>
      </c>
      <c r="I11" s="55">
        <v>0</v>
      </c>
      <c r="J11" s="55">
        <v>0</v>
      </c>
      <c r="K11" s="55">
        <v>0</v>
      </c>
      <c r="L11" s="55" t="s">
        <v>35</v>
      </c>
      <c r="M11" s="55">
        <f>SUM(G11:K11)</f>
        <v>26000</v>
      </c>
      <c r="N11" s="30" t="s">
        <v>36</v>
      </c>
      <c r="O11" s="16" t="s">
        <v>37</v>
      </c>
      <c r="P11" s="14" t="s">
        <v>38</v>
      </c>
      <c r="Q11" s="15"/>
      <c r="R11" s="17"/>
      <c r="S11" s="1"/>
    </row>
    <row r="12" spans="1:19">
      <c r="A12" s="29">
        <v>2</v>
      </c>
      <c r="B12" s="13">
        <v>45983</v>
      </c>
      <c r="C12" s="56">
        <v>0.82361111111111107</v>
      </c>
      <c r="D12" s="53" t="s">
        <v>39</v>
      </c>
      <c r="E12" s="14" t="s">
        <v>33</v>
      </c>
      <c r="F12" s="30" t="s">
        <v>34</v>
      </c>
      <c r="G12" s="55">
        <v>26000</v>
      </c>
      <c r="H12" s="55">
        <v>0</v>
      </c>
      <c r="I12" s="55">
        <v>0</v>
      </c>
      <c r="J12" s="55">
        <v>0</v>
      </c>
      <c r="K12" s="55">
        <v>0</v>
      </c>
      <c r="L12" s="55" t="s">
        <v>35</v>
      </c>
      <c r="M12" s="55">
        <f t="shared" ref="M12:M14" si="0">SUM(G12:K12)</f>
        <v>26000</v>
      </c>
      <c r="N12" s="30" t="s">
        <v>36</v>
      </c>
      <c r="O12" s="16" t="s">
        <v>37</v>
      </c>
      <c r="P12" s="14" t="s">
        <v>38</v>
      </c>
      <c r="Q12" s="15"/>
      <c r="R12" s="17"/>
      <c r="S12" s="1"/>
    </row>
    <row r="13" spans="1:19">
      <c r="A13" s="29">
        <v>3</v>
      </c>
      <c r="B13" s="13">
        <v>45996</v>
      </c>
      <c r="C13" s="56">
        <v>0.66874999999999996</v>
      </c>
      <c r="D13" s="53" t="s">
        <v>40</v>
      </c>
      <c r="E13" s="14" t="s">
        <v>33</v>
      </c>
      <c r="F13" s="30" t="s">
        <v>34</v>
      </c>
      <c r="G13" s="55">
        <v>33000</v>
      </c>
      <c r="H13" s="55">
        <v>0</v>
      </c>
      <c r="I13" s="55">
        <v>0</v>
      </c>
      <c r="J13" s="55">
        <v>0</v>
      </c>
      <c r="K13" s="55">
        <v>0</v>
      </c>
      <c r="L13" s="55" t="s">
        <v>35</v>
      </c>
      <c r="M13" s="55">
        <f t="shared" si="0"/>
        <v>33000</v>
      </c>
      <c r="N13" s="30" t="s">
        <v>36</v>
      </c>
      <c r="O13" s="16" t="s">
        <v>37</v>
      </c>
      <c r="P13" s="14" t="s">
        <v>41</v>
      </c>
      <c r="Q13" s="15"/>
      <c r="R13" s="17"/>
      <c r="S13" s="1"/>
    </row>
    <row r="14" spans="1:19">
      <c r="A14" s="29">
        <v>4</v>
      </c>
      <c r="B14" s="13">
        <v>45996</v>
      </c>
      <c r="C14" s="56">
        <v>0.6118055555555556</v>
      </c>
      <c r="D14" s="53" t="s">
        <v>42</v>
      </c>
      <c r="E14" s="14" t="s">
        <v>43</v>
      </c>
      <c r="F14" s="30" t="s">
        <v>34</v>
      </c>
      <c r="G14" s="55">
        <v>25000</v>
      </c>
      <c r="H14" s="55">
        <v>0</v>
      </c>
      <c r="I14" s="55">
        <v>0</v>
      </c>
      <c r="J14" s="55">
        <v>0</v>
      </c>
      <c r="K14" s="55">
        <v>0</v>
      </c>
      <c r="L14" s="55" t="s">
        <v>35</v>
      </c>
      <c r="M14" s="55">
        <f t="shared" si="0"/>
        <v>25000</v>
      </c>
      <c r="N14" s="30" t="s">
        <v>36</v>
      </c>
      <c r="O14" s="16" t="s">
        <v>37</v>
      </c>
      <c r="P14" s="14" t="s">
        <v>41</v>
      </c>
      <c r="Q14" s="15"/>
      <c r="R14" s="17"/>
      <c r="S14" s="1"/>
    </row>
    <row r="15" spans="1:19">
      <c r="A15" s="29">
        <v>5</v>
      </c>
      <c r="B15" s="13">
        <v>45995</v>
      </c>
      <c r="C15" s="56">
        <v>0.55694444444444446</v>
      </c>
      <c r="D15" s="18" t="s">
        <v>44</v>
      </c>
      <c r="E15" s="14" t="s">
        <v>45</v>
      </c>
      <c r="F15" s="30" t="s">
        <v>34</v>
      </c>
      <c r="G15" s="55">
        <v>15000</v>
      </c>
      <c r="H15" s="55">
        <v>0</v>
      </c>
      <c r="I15" s="55">
        <v>0</v>
      </c>
      <c r="J15" s="55">
        <v>0</v>
      </c>
      <c r="K15" s="55">
        <v>0</v>
      </c>
      <c r="L15" s="55" t="s">
        <v>35</v>
      </c>
      <c r="M15" s="55">
        <f t="shared" ref="M15" si="1">SUM(G15:K15)</f>
        <v>15000</v>
      </c>
      <c r="N15" s="30" t="s">
        <v>36</v>
      </c>
      <c r="O15" s="16" t="s">
        <v>37</v>
      </c>
      <c r="P15" s="14" t="s">
        <v>41</v>
      </c>
      <c r="Q15" s="15"/>
      <c r="R15" s="17"/>
      <c r="S15" s="1"/>
    </row>
    <row r="16" spans="1:19">
      <c r="A16" s="29"/>
      <c r="B16" s="13"/>
      <c r="C16" s="56"/>
      <c r="D16" s="18"/>
      <c r="E16" s="14"/>
      <c r="F16" s="30"/>
      <c r="G16" s="55"/>
      <c r="H16" s="55"/>
      <c r="I16" s="55"/>
      <c r="J16" s="55"/>
      <c r="K16" s="55"/>
      <c r="L16" s="55"/>
      <c r="M16" s="55"/>
      <c r="N16" s="30"/>
      <c r="O16" s="16"/>
      <c r="P16" s="14"/>
      <c r="Q16" s="15"/>
      <c r="R16" s="17"/>
      <c r="S16" s="1"/>
    </row>
    <row r="17" spans="1:19">
      <c r="A17" s="63"/>
      <c r="B17" s="13"/>
      <c r="C17" s="64"/>
      <c r="D17" s="65"/>
      <c r="E17" s="14"/>
      <c r="F17" s="30"/>
      <c r="G17" s="55"/>
      <c r="H17" s="55"/>
      <c r="I17" s="55"/>
      <c r="J17" s="55"/>
      <c r="K17" s="55"/>
      <c r="L17" s="55"/>
      <c r="M17" s="55"/>
      <c r="N17" s="30"/>
      <c r="O17" s="16"/>
      <c r="P17" s="14"/>
      <c r="Q17" s="66"/>
      <c r="R17" s="67"/>
      <c r="S17" s="1"/>
    </row>
    <row r="18" spans="1:19">
      <c r="A18" s="29"/>
      <c r="B18" s="13"/>
      <c r="C18" s="56"/>
      <c r="D18" s="18"/>
      <c r="E18" s="14"/>
      <c r="F18" s="30"/>
      <c r="G18" s="55"/>
      <c r="H18" s="55"/>
      <c r="I18" s="55"/>
      <c r="J18" s="55"/>
      <c r="K18" s="55"/>
      <c r="L18" s="55"/>
      <c r="M18" s="55"/>
      <c r="N18" s="30"/>
      <c r="O18" s="16"/>
      <c r="P18" s="14"/>
      <c r="Q18" s="15"/>
      <c r="R18" s="17"/>
      <c r="S18" s="1"/>
    </row>
    <row r="19" spans="1:19">
      <c r="A19" s="29"/>
      <c r="B19" s="13"/>
      <c r="C19" s="56"/>
      <c r="D19" s="18"/>
      <c r="E19" s="14"/>
      <c r="F19" s="30"/>
      <c r="G19" s="55"/>
      <c r="H19" s="55"/>
      <c r="I19" s="55"/>
      <c r="J19" s="55"/>
      <c r="K19" s="55"/>
      <c r="L19" s="55"/>
      <c r="M19" s="55"/>
      <c r="N19" s="30"/>
      <c r="O19" s="16"/>
      <c r="P19" s="14"/>
      <c r="Q19" s="15"/>
      <c r="R19" s="69"/>
      <c r="S19" s="1"/>
    </row>
    <row r="20" spans="1:19" ht="15" customHeight="1">
      <c r="A20" s="29"/>
      <c r="B20" s="13"/>
      <c r="C20" s="56"/>
      <c r="D20" s="18"/>
      <c r="E20" s="14"/>
      <c r="F20" s="30"/>
      <c r="G20" s="55"/>
      <c r="H20" s="55"/>
      <c r="I20" s="55"/>
      <c r="J20" s="55"/>
      <c r="K20" s="55"/>
      <c r="L20" s="55"/>
      <c r="M20" s="55"/>
      <c r="N20" s="30"/>
      <c r="O20" s="16"/>
      <c r="P20" s="14"/>
      <c r="Q20" s="15"/>
      <c r="R20" s="68"/>
      <c r="S20" s="1"/>
    </row>
    <row r="21" spans="1:19">
      <c r="A21" s="29"/>
      <c r="B21" s="13"/>
      <c r="C21" s="56"/>
      <c r="D21" s="18"/>
      <c r="E21" s="14"/>
      <c r="F21" s="30"/>
      <c r="G21" s="55"/>
      <c r="H21" s="55"/>
      <c r="I21" s="55"/>
      <c r="J21" s="55"/>
      <c r="K21" s="55"/>
      <c r="L21" s="55"/>
      <c r="M21" s="55"/>
      <c r="N21" s="30"/>
      <c r="O21" s="16"/>
      <c r="P21" s="14"/>
      <c r="Q21" s="15"/>
      <c r="R21" s="17"/>
      <c r="S21" s="1"/>
    </row>
    <row r="22" spans="1:19">
      <c r="A22" s="29"/>
      <c r="B22" s="13"/>
      <c r="C22" s="56"/>
      <c r="D22" s="18"/>
      <c r="E22" s="14"/>
      <c r="F22" s="30"/>
      <c r="G22" s="55"/>
      <c r="H22" s="55"/>
      <c r="I22" s="55"/>
      <c r="J22" s="55"/>
      <c r="K22" s="55"/>
      <c r="L22" s="55"/>
      <c r="M22" s="55"/>
      <c r="N22" s="30"/>
      <c r="O22" s="16"/>
      <c r="P22" s="14"/>
      <c r="Q22" s="15"/>
      <c r="R22" s="17"/>
      <c r="S22" s="1"/>
    </row>
    <row r="23" spans="1:19">
      <c r="A23" s="29"/>
      <c r="B23" s="13"/>
      <c r="C23" s="13"/>
      <c r="D23" s="18"/>
      <c r="E23" s="14"/>
      <c r="F23" s="14"/>
      <c r="G23" s="15"/>
      <c r="H23" s="15"/>
      <c r="I23" s="15"/>
      <c r="J23" s="15"/>
      <c r="K23" s="15"/>
      <c r="L23" s="55"/>
      <c r="M23" s="15">
        <f t="shared" ref="M23" si="2">SUM(G23:J23)</f>
        <v>0</v>
      </c>
      <c r="N23" s="30"/>
      <c r="O23" s="18"/>
      <c r="P23" s="14"/>
      <c r="Q23" s="15"/>
      <c r="R23" s="17"/>
      <c r="S23" s="1"/>
    </row>
    <row r="24" spans="1:19">
      <c r="A24" s="52" t="s">
        <v>26</v>
      </c>
      <c r="B24" s="19"/>
      <c r="C24" s="19"/>
      <c r="D24" s="19"/>
      <c r="E24" s="19"/>
      <c r="F24" s="19"/>
      <c r="G24" s="21">
        <f>SUM(G11:G23)</f>
        <v>125000</v>
      </c>
      <c r="H24" s="21">
        <f>SUM(H11:H23)</f>
        <v>0</v>
      </c>
      <c r="I24" s="21"/>
      <c r="J24" s="21">
        <f>SUM(J11:J23)</f>
        <v>0</v>
      </c>
      <c r="K24" s="21"/>
      <c r="L24" s="21"/>
      <c r="M24" s="21">
        <f>SUM(M11:M22)</f>
        <v>125000</v>
      </c>
      <c r="N24" s="28"/>
      <c r="O24" s="20"/>
      <c r="P24" s="19"/>
      <c r="Q24" s="21">
        <f>SUM(Q11:Q23)</f>
        <v>0</v>
      </c>
      <c r="R24" s="22"/>
      <c r="S24" s="1"/>
    </row>
    <row r="25" spans="1:19">
      <c r="A25" s="7"/>
      <c r="B25" s="10"/>
      <c r="C25" s="10"/>
      <c r="D25" s="11"/>
      <c r="E25" s="10"/>
      <c r="F25" s="10"/>
      <c r="G25" s="12"/>
      <c r="H25" s="12"/>
      <c r="I25" s="12"/>
      <c r="J25" s="12"/>
      <c r="K25" s="12"/>
      <c r="L25" s="12"/>
      <c r="M25" s="12"/>
      <c r="N25" s="7"/>
      <c r="O25" s="11"/>
      <c r="P25" s="10"/>
      <c r="Q25" s="12"/>
      <c r="R25" s="10"/>
      <c r="S25" s="1"/>
    </row>
    <row r="26" spans="1:19">
      <c r="A26" s="7"/>
      <c r="B26" s="10"/>
      <c r="C26" s="10"/>
      <c r="D26" s="11"/>
      <c r="E26" s="10"/>
      <c r="F26" s="10"/>
      <c r="G26" s="12"/>
      <c r="H26" s="12"/>
      <c r="I26" s="12"/>
      <c r="J26" s="12"/>
      <c r="K26" s="12"/>
      <c r="L26" s="12"/>
      <c r="M26" s="12"/>
      <c r="N26" s="7"/>
      <c r="O26" s="11"/>
      <c r="P26" s="10"/>
      <c r="Q26" s="12"/>
      <c r="R26" s="10"/>
      <c r="S26" s="1"/>
    </row>
    <row r="27" spans="1:19">
      <c r="A27" s="7"/>
      <c r="B27" s="10"/>
      <c r="C27" s="10"/>
      <c r="D27" s="11"/>
      <c r="E27" s="10"/>
      <c r="F27" s="10"/>
      <c r="G27" s="12"/>
      <c r="H27" s="12"/>
      <c r="I27" s="12"/>
      <c r="J27" s="12"/>
      <c r="K27" s="12"/>
      <c r="L27" s="12"/>
      <c r="M27" s="12"/>
      <c r="N27" s="7"/>
      <c r="O27" s="11"/>
      <c r="P27" s="10"/>
      <c r="Q27" s="12"/>
      <c r="R27" s="10"/>
      <c r="S27" s="1"/>
    </row>
    <row r="28" spans="1:19" ht="15" customHeight="1">
      <c r="A28" s="7"/>
      <c r="B28" s="10"/>
      <c r="C28" s="10"/>
      <c r="D28" s="74" t="s">
        <v>46</v>
      </c>
      <c r="E28" s="70" t="s">
        <v>47</v>
      </c>
      <c r="F28" s="72" t="s">
        <v>47</v>
      </c>
      <c r="G28" s="12"/>
      <c r="H28" s="12"/>
      <c r="I28" s="12"/>
      <c r="J28" s="12"/>
      <c r="K28" s="12"/>
      <c r="L28" s="12"/>
      <c r="M28" s="12"/>
      <c r="N28" s="7"/>
      <c r="O28" s="11"/>
      <c r="P28" s="10"/>
      <c r="Q28" s="76" t="s">
        <v>48</v>
      </c>
      <c r="S28" s="1"/>
    </row>
    <row r="29" spans="1:19" ht="15" customHeight="1">
      <c r="A29" s="7"/>
      <c r="B29" s="10"/>
      <c r="C29" s="10"/>
      <c r="D29" s="75"/>
      <c r="E29" s="71"/>
      <c r="F29" s="73"/>
      <c r="G29" s="12"/>
      <c r="H29" s="12"/>
      <c r="I29" s="12"/>
      <c r="J29" s="12"/>
      <c r="K29" s="12"/>
      <c r="L29" s="12"/>
      <c r="M29" s="12"/>
      <c r="N29" s="7"/>
      <c r="O29" s="11"/>
      <c r="P29" s="10"/>
      <c r="Q29" s="77"/>
      <c r="S29" s="1"/>
    </row>
    <row r="30" spans="1:19" ht="15.75">
      <c r="A30" s="7"/>
      <c r="B30" s="10"/>
      <c r="C30" s="10"/>
      <c r="D30" s="59"/>
      <c r="E30" s="57"/>
      <c r="F30" s="61"/>
      <c r="G30" s="12"/>
      <c r="H30" s="12"/>
      <c r="I30" s="12"/>
      <c r="J30" s="12"/>
      <c r="K30" s="12"/>
      <c r="L30" s="12"/>
      <c r="M30" s="12"/>
      <c r="N30" s="7"/>
      <c r="O30" s="11"/>
      <c r="P30" s="10"/>
      <c r="Q30" s="31"/>
      <c r="S30" s="1"/>
    </row>
    <row r="31" spans="1:19" ht="15.75">
      <c r="A31" s="7"/>
      <c r="B31" s="10"/>
      <c r="C31" s="10"/>
      <c r="D31" s="59"/>
      <c r="E31" s="57"/>
      <c r="F31" s="61"/>
      <c r="G31" s="12"/>
      <c r="H31" s="12"/>
      <c r="I31" s="12"/>
      <c r="J31" s="12"/>
      <c r="K31" s="12"/>
      <c r="L31" s="12"/>
      <c r="M31" s="12"/>
      <c r="N31" s="7"/>
      <c r="O31" s="11"/>
      <c r="P31" s="10"/>
      <c r="Q31" s="31"/>
      <c r="S31" s="1"/>
    </row>
    <row r="32" spans="1:19" ht="15.75">
      <c r="A32" s="7"/>
      <c r="B32" s="10"/>
      <c r="C32" s="10"/>
      <c r="D32" s="59"/>
      <c r="E32" s="57"/>
      <c r="F32" s="61"/>
      <c r="G32" s="12"/>
      <c r="H32" s="12"/>
      <c r="I32" s="12"/>
      <c r="J32" s="12"/>
      <c r="K32" s="12"/>
      <c r="L32" s="12"/>
      <c r="M32" s="12"/>
      <c r="N32" s="7"/>
      <c r="O32" s="11"/>
      <c r="P32" s="10"/>
      <c r="Q32" s="31"/>
      <c r="S32" s="1"/>
    </row>
    <row r="33" spans="1:19" ht="15.75">
      <c r="A33" s="7"/>
      <c r="B33" s="10"/>
      <c r="C33" s="10"/>
      <c r="D33" s="59"/>
      <c r="E33" s="57"/>
      <c r="F33" s="61"/>
      <c r="G33" s="12"/>
      <c r="H33" s="12"/>
      <c r="I33" s="12"/>
      <c r="J33" s="12"/>
      <c r="K33" s="12"/>
      <c r="L33" s="12"/>
      <c r="M33" s="12"/>
      <c r="N33" s="7"/>
      <c r="O33" s="11"/>
      <c r="P33" s="10"/>
      <c r="Q33" s="31"/>
      <c r="S33" s="1"/>
    </row>
    <row r="34" spans="1:19" ht="15.75">
      <c r="A34" s="7"/>
      <c r="B34" s="10"/>
      <c r="C34" s="10"/>
      <c r="D34" s="60" t="s">
        <v>49</v>
      </c>
      <c r="E34" s="58" t="s">
        <v>49</v>
      </c>
      <c r="F34" s="62" t="s">
        <v>50</v>
      </c>
      <c r="G34" s="12"/>
      <c r="H34" s="12"/>
      <c r="I34" s="12"/>
      <c r="J34" s="12"/>
      <c r="K34" s="12"/>
      <c r="L34" s="12"/>
      <c r="M34" s="12"/>
      <c r="N34" s="7"/>
      <c r="O34" s="11"/>
      <c r="P34" s="10"/>
      <c r="Q34" s="32" t="s">
        <v>51</v>
      </c>
      <c r="S34" s="1"/>
    </row>
    <row r="35" spans="1:19">
      <c r="A35" s="7"/>
      <c r="B35" s="10"/>
      <c r="C35" s="10"/>
      <c r="D35" s="11"/>
      <c r="E35" s="10"/>
      <c r="F35" s="10"/>
      <c r="G35" s="12"/>
      <c r="H35" s="12"/>
      <c r="I35" s="12"/>
      <c r="J35" s="12"/>
      <c r="K35" s="12"/>
      <c r="L35" s="12"/>
      <c r="M35" s="12"/>
      <c r="N35" s="7"/>
      <c r="O35" s="11"/>
      <c r="P35" s="10"/>
      <c r="Q35" s="12"/>
      <c r="R35" s="10"/>
      <c r="S35" s="1"/>
    </row>
  </sheetData>
  <mergeCells count="4">
    <mergeCell ref="E28:E29"/>
    <mergeCell ref="F28:F29"/>
    <mergeCell ref="D28:D29"/>
    <mergeCell ref="Q28:Q29"/>
  </mergeCells>
  <dataValidations count="1">
    <dataValidation type="list" allowBlank="1" showInputMessage="1" showErrorMessage="1" sqref="L1:L1048576" xr:uid="{AE6B12E4-2A80-3143-9288-1A533A587E7F}">
      <formula1>"Login, No login"</formula1>
    </dataValidation>
  </dataValidations>
  <hyperlinks>
    <hyperlink ref="O11" r:id="rId1" xr:uid="{227165B0-03F6-4F7D-A30E-0F7AC496F9C7}"/>
    <hyperlink ref="O12:O15" r:id="rId2" display="Evidence_12_15_2025" xr:uid="{88990B37-2A9B-4B85-85B3-D735B70AB6E3}"/>
  </hyperlinks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a6966d-1e19-4e59-8dd6-bb0c3ce796c9" xsi:nil="true"/>
    <lcf76f155ced4ddcb4097134ff3c332f xmlns="00df30fe-b8e7-4b01-99b7-a408828f34d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DAD360990B874F88C7137CBA5B2D57" ma:contentTypeVersion="15" ma:contentTypeDescription="Create a new document." ma:contentTypeScope="" ma:versionID="a3e6027cd624cc4c2a8bd50e7849f828">
  <xsd:schema xmlns:xsd="http://www.w3.org/2001/XMLSchema" xmlns:xs="http://www.w3.org/2001/XMLSchema" xmlns:p="http://schemas.microsoft.com/office/2006/metadata/properties" xmlns:ns2="00df30fe-b8e7-4b01-99b7-a408828f34d9" xmlns:ns3="17a6966d-1e19-4e59-8dd6-bb0c3ce796c9" targetNamespace="http://schemas.microsoft.com/office/2006/metadata/properties" ma:root="true" ma:fieldsID="e85678b818bd781cf9008105a55be074" ns2:_="" ns3:_="">
    <xsd:import namespace="00df30fe-b8e7-4b01-99b7-a408828f34d9"/>
    <xsd:import namespace="17a6966d-1e19-4e59-8dd6-bb0c3ce796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df30fe-b8e7-4b01-99b7-a408828f34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026a044-a3d7-40f1-80db-0815334f4e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a6966d-1e19-4e59-8dd6-bb0c3ce796c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331ee9f-b183-4e2a-8387-68a3a4642f1b}" ma:internalName="TaxCatchAll" ma:showField="CatchAllData" ma:web="17a6966d-1e19-4e59-8dd6-bb0c3ce796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4BEA43-9EA1-4863-9226-9C8EAF261F51}"/>
</file>

<file path=customXml/itemProps2.xml><?xml version="1.0" encoding="utf-8"?>
<ds:datastoreItem xmlns:ds="http://schemas.openxmlformats.org/officeDocument/2006/customXml" ds:itemID="{4A973A84-D118-4A4F-AB83-EBAC71DA03E1}"/>
</file>

<file path=customXml/itemProps3.xml><?xml version="1.0" encoding="utf-8"?>
<ds:datastoreItem xmlns:ds="http://schemas.openxmlformats.org/officeDocument/2006/customXml" ds:itemID="{7BBC51B0-2AF9-4204-8776-4B6672C805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Fenty</dc:creator>
  <cp:keywords/>
  <dc:description/>
  <cp:lastModifiedBy/>
  <cp:revision/>
  <dcterms:created xsi:type="dcterms:W3CDTF">2019-02-14T08:07:09Z</dcterms:created>
  <dcterms:modified xsi:type="dcterms:W3CDTF">2026-01-13T07:24:37Z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0x010100B3DAD360990B874F88C7137CBA5B2D57</vt:lpwstr>
  </property>
  <property fmtid="{D5CDD505-2E9C-101B-9397-08002B2CF9AE}" pid="3" name="MediaServiceImageTags">
    <vt:lpwstr/>
  </property>
</Properties>
</file>